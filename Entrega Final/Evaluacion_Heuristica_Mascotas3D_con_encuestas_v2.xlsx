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BRYAN-PC\Desktop\8vo Semestre\Interculturalidad\Proyecto\Entrega Final\"/>
    </mc:Choice>
  </mc:AlternateContent>
  <xr:revisionPtr revIDLastSave="0" documentId="13_ncr:1_{B5F53210-3785-459A-B22D-612BACDDDD86}" xr6:coauthVersionLast="47" xr6:coauthVersionMax="47" xr10:uidLastSave="{00000000-0000-0000-0000-000000000000}"/>
  <bookViews>
    <workbookView xWindow="-108" yWindow="-108" windowWidth="23256" windowHeight="13176" activeTab="2" xr2:uid="{00000000-000D-0000-FFFF-FFFF00000000}"/>
  </bookViews>
  <sheets>
    <sheet name="Heuristica" sheetId="1" r:id="rId1"/>
    <sheet name="Resumen" sheetId="2" r:id="rId2"/>
    <sheet name="PSSUQ" sheetId="3" r:id="rId3"/>
    <sheet name="UEQ" sheetId="4" r:id="rId4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0" i="2" l="1"/>
  <c r="E9" i="2"/>
  <c r="E8" i="2"/>
  <c r="E7" i="2"/>
  <c r="E6" i="2"/>
</calcChain>
</file>

<file path=xl/sharedStrings.xml><?xml version="1.0" encoding="utf-8"?>
<sst xmlns="http://schemas.openxmlformats.org/spreadsheetml/2006/main" count="121" uniqueCount="96">
  <si>
    <t>ID</t>
  </si>
  <si>
    <t>Evaluador</t>
  </si>
  <si>
    <t>Area</t>
  </si>
  <si>
    <t>Heuristica</t>
  </si>
  <si>
    <t>Hallazgo</t>
  </si>
  <si>
    <t>Severidad</t>
  </si>
  <si>
    <t>Puntaje</t>
  </si>
  <si>
    <t>Recomendacion</t>
  </si>
  <si>
    <t>Galo Moreta</t>
  </si>
  <si>
    <t>Registro</t>
  </si>
  <si>
    <t>Carga de trabajo</t>
  </si>
  <si>
    <t>El formulario concentra demasiados campos en una sola vista.</t>
  </si>
  <si>
    <t>Media</t>
  </si>
  <si>
    <t>Dividir el flujo en secciones y usar ayuda contextual.</t>
  </si>
  <si>
    <t>Axel Herrera</t>
  </si>
  <si>
    <t>Edicion 3D</t>
  </si>
  <si>
    <t>Control explicito</t>
  </si>
  <si>
    <t>Debe quedar mas claro si el usuario esta moviendo, rotando o pintando.</t>
  </si>
  <si>
    <t>Alta</t>
  </si>
  <si>
    <t>Separar modos con botones activos y estados visibles.</t>
  </si>
  <si>
    <t>Leonel Quispe</t>
  </si>
  <si>
    <t>Categoria</t>
  </si>
  <si>
    <t>Compatibilidad</t>
  </si>
  <si>
    <t>La seleccion por categoria es correcta, pero conviene mantener el mismo lenguaje en todo el sistema.</t>
  </si>
  <si>
    <t>Usar la misma nomenclatura y color por especie.</t>
  </si>
  <si>
    <t>Luz Romero</t>
  </si>
  <si>
    <t>Interfaz</t>
  </si>
  <si>
    <t>Homogeneidad</t>
  </si>
  <si>
    <t>Hay variaciones de estilo entre modales y pantallas principales.</t>
  </si>
  <si>
    <t>Normalizar botones, inputs y tarjetas.</t>
  </si>
  <si>
    <t>Daniel Patiño</t>
  </si>
  <si>
    <t>Ubicacion</t>
  </si>
  <si>
    <t>Gestion de errores</t>
  </si>
  <si>
    <t>La ubicacion debe ser aproximada y no exponer direccion exacta.</t>
  </si>
  <si>
    <t>Reforzar validacion de pais/barrio y aviso de privacidad.</t>
  </si>
  <si>
    <t>Isabela Lopez</t>
  </si>
  <si>
    <t>Carga de fotos</t>
  </si>
  <si>
    <t>Feedback</t>
  </si>
  <si>
    <t>Se necesita confirmacion mas visible al subir o guardar fotos.</t>
  </si>
  <si>
    <t>Mostrar mensajes de exito y progreso.</t>
  </si>
  <si>
    <t>Mateo Medranda</t>
  </si>
  <si>
    <t>Vista publica</t>
  </si>
  <si>
    <t>Significado de codigos</t>
  </si>
  <si>
    <t>Iconos y colores requieren etiquetas para evitar ambiguedad.</t>
  </si>
  <si>
    <t>Agregar leyendas y labels cortos.</t>
  </si>
  <si>
    <t>Marcelo Pareja</t>
  </si>
  <si>
    <t>Cartel PDF</t>
  </si>
  <si>
    <t>El formato del cartel es util, pero debe mantener jerarquia visual consistente.</t>
  </si>
  <si>
    <t>Baja</t>
  </si>
  <si>
    <t>Ajustar tipografia y orden de bloques.</t>
  </si>
  <si>
    <t>Resumen ejecutivo de la evaluacion</t>
  </si>
  <si>
    <t>Metrica de usabilidad</t>
  </si>
  <si>
    <t>PSSUQ</t>
  </si>
  <si>
    <t>Metrica de UX</t>
  </si>
  <si>
    <t>UEQ</t>
  </si>
  <si>
    <t>Heuristica aplicada</t>
  </si>
  <si>
    <t>Bastien y Scapin</t>
  </si>
  <si>
    <t>Total hallazgos</t>
  </si>
  <si>
    <t>Altos</t>
  </si>
  <si>
    <t>Medios</t>
  </si>
  <si>
    <t>Bajos</t>
  </si>
  <si>
    <t>Promedio de severidad</t>
  </si>
  <si>
    <t>Opiniones de participantes sobre usabilidad y UX</t>
  </si>
  <si>
    <t>Metrica</t>
  </si>
  <si>
    <t>Promedio</t>
  </si>
  <si>
    <t>Lectura</t>
  </si>
  <si>
    <t>Interpretacion breve</t>
  </si>
  <si>
    <t>Usabilidad (PSSUQ)</t>
  </si>
  <si>
    <t>El sistema se percibe usable cuando las tareas principales son claras y rapidas.</t>
  </si>
  <si>
    <t>UX (UEQ)</t>
  </si>
  <si>
    <t>Positiva</t>
  </si>
  <si>
    <t>La UX es positiva cuando el usuario siente confianza, claridad y agrado visual.</t>
  </si>
  <si>
    <t>Esta hoja conecta directamente con el informe: la tabla Heuristica muestra hallazgos, PSSUQ resume la usabilidad y UEQ resume la experiencia de usuario. Todo esta organizado para que puedas copiar el analisis al documento Overleaf sin cambiar los nombres existentes.</t>
  </si>
  <si>
    <t>PSSUQ - METRICA DE USABILIDAD</t>
  </si>
  <si>
    <t>Escala de 1 a 7. Valores mas bajos indican mejor usabilidad percibida. Los participantes estan rotulados como ejemplo para no confundir esta plantilla con evidencia real.</t>
  </si>
  <si>
    <t>Participante</t>
  </si>
  <si>
    <t>Facilidad</t>
  </si>
  <si>
    <t>Aprendizaje</t>
  </si>
  <si>
    <t>Claridad</t>
  </si>
  <si>
    <t>Eficiencia</t>
  </si>
  <si>
    <t>Errores</t>
  </si>
  <si>
    <t>Confianza</t>
  </si>
  <si>
    <t>Satisfaccion</t>
  </si>
  <si>
    <t>Daniel Pati?o</t>
  </si>
  <si>
    <t>Usabilidad percibida alta</t>
  </si>
  <si>
    <t>Nota: esta hoja resume opiniones de usabilidad con PSSUQ. Los nombres se sincronizan con la hoja de heuristica para mantener coherencia visual; si aplicas la encuesta de forma real, reemplaza los valores de ejemplo por los obtenidos por participantes reales.</t>
  </si>
  <si>
    <t>Escala de -3 a +3. Los valores positivos reflejan una experiencia mas agradable. La hoja usa datos de ejemplo para mantener coherencia con la plantilla.</t>
  </si>
  <si>
    <t>Atractivo</t>
  </si>
  <si>
    <t>Claro</t>
  </si>
  <si>
    <t>Eficiente</t>
  </si>
  <si>
    <t>Innovador</t>
  </si>
  <si>
    <t>Confiable</t>
  </si>
  <si>
    <t>Agradable</t>
  </si>
  <si>
    <t>Experiencia de usuario positiva</t>
  </si>
  <si>
    <t>Nota: esta hoja resume la experiencia de usuario con UEQ. Los nombres se sincronizan con la hoja de heuristica para mantener coherencia visual; si luego aplicas la encuesta a personas reales, reemplaza los datos de ejemplo por los verdaderos.</t>
  </si>
  <si>
    <t>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</si>
</sst>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name val="Carlito"/>
    </font>
    <font>
      <b/>
      <sz val="11"/>
      <color rgb="FF16324F"/>
      <name val="Carlito"/>
    </font>
    <font>
      <b/>
      <sz val="10"/>
      <color rgb="FFFFFFFF"/>
      <name val="Carlito"/>
    </font>
    <font>
      <sz val="10"/>
      <color rgb="FF1F2937"/>
      <name val="Carlito"/>
    </font>
    <font>
      <b/>
      <sz val="10"/>
      <color rgb="FF111827"/>
      <name val="Carlito"/>
    </font>
    <font>
      <b/>
      <sz val="16"/>
      <color rgb="FFFFFFFF"/>
      <name val="Carlito"/>
    </font>
    <font>
      <b/>
      <sz val="11"/>
      <color rgb="FF1F2937"/>
      <name val="Carlito"/>
    </font>
    <font>
      <b/>
      <sz val="10"/>
      <color rgb="FF7A5A00"/>
      <name val="Carlito"/>
    </font>
    <font>
      <b/>
      <sz val="16"/>
      <color rgb="FFFFFFFF"/>
      <name val="Carlito"/>
    </font>
    <font>
      <sz val="10"/>
      <color rgb="FF1F2937"/>
      <name val="Carlito"/>
    </font>
    <font>
      <b/>
      <sz val="10"/>
      <color rgb="FFFFFFFF"/>
      <name val="Carlito"/>
    </font>
    <font>
      <b/>
      <sz val="10"/>
      <color rgb="FF1F2937"/>
      <name val="Carlito"/>
    </font>
    <font>
      <b/>
      <sz val="11"/>
      <color rgb="FF16324F"/>
      <name val="Carlito"/>
    </font>
    <font>
      <b/>
      <sz val="11"/>
      <color rgb="FFFFFFFF"/>
      <name val="Carlito"/>
    </font>
  </fonts>
  <fills count="20">
    <fill>
      <patternFill patternType="none"/>
    </fill>
    <fill>
      <patternFill patternType="gray125"/>
    </fill>
    <fill>
      <patternFill patternType="solid">
        <fgColor rgb="FF16324F"/>
      </patternFill>
    </fill>
    <fill>
      <patternFill patternType="solid">
        <fgColor rgb="FFE8EEF5"/>
      </patternFill>
    </fill>
    <fill>
      <patternFill patternType="solid">
        <fgColor rgb="FFE9F7F1"/>
      </patternFill>
    </fill>
    <fill>
      <patternFill patternType="solid">
        <fgColor rgb="FFF4F6F8"/>
      </patternFill>
    </fill>
    <fill>
      <patternFill patternType="solid">
        <fgColor rgb="FFFFFFFF"/>
      </patternFill>
    </fill>
    <fill>
      <patternFill patternType="solid">
        <fgColor rgb="FFFFF4CC"/>
      </patternFill>
    </fill>
    <fill>
      <patternFill patternType="solid">
        <fgColor rgb="FFFDE68A"/>
      </patternFill>
    </fill>
    <fill>
      <patternFill patternType="solid">
        <fgColor rgb="FFFDE2E2"/>
      </patternFill>
    </fill>
    <fill>
      <patternFill patternType="solid">
        <fgColor rgb="FFFCA5A5"/>
      </patternFill>
    </fill>
    <fill>
      <patternFill patternType="solid">
        <fgColor rgb="FFBFDBFE"/>
      </patternFill>
    </fill>
    <fill>
      <patternFill patternType="solid">
        <fgColor theme="0"/>
        <bgColor indexed="64"/>
      </patternFill>
    </fill>
    <fill>
      <patternFill patternType="solid">
        <fgColor rgb="FF16324F"/>
      </patternFill>
    </fill>
    <fill>
      <patternFill patternType="solid">
        <fgColor rgb="FFE9F7F1"/>
      </patternFill>
    </fill>
    <fill>
      <patternFill patternType="solid">
        <fgColor rgb="FFF4F6F8"/>
      </patternFill>
    </fill>
    <fill>
      <patternFill patternType="solid">
        <fgColor rgb="FFFFF4CC"/>
      </patternFill>
    </fill>
    <fill>
      <patternFill patternType="solid">
        <fgColor rgb="FFFFFFFF"/>
      </patternFill>
    </fill>
    <fill>
      <patternFill patternType="solid">
        <fgColor rgb="FFE8EEF5"/>
      </patternFill>
    </fill>
    <fill>
      <patternFill patternType="solid">
        <fgColor rgb="FFEEF2FF"/>
      </patternFill>
    </fill>
  </fills>
  <borders count="25">
    <border>
      <left/>
      <right/>
      <top/>
      <bottom/>
      <diagonal/>
    </border>
    <border>
      <left style="thin">
        <color rgb="FF16324F"/>
      </left>
      <right/>
      <top style="thin">
        <color rgb="FF16324F"/>
      </top>
      <bottom style="thin">
        <color rgb="FF16324F"/>
      </bottom>
      <diagonal/>
    </border>
    <border>
      <left/>
      <right/>
      <top style="thin">
        <color rgb="FF16324F"/>
      </top>
      <bottom style="thin">
        <color rgb="FF16324F"/>
      </bottom>
      <diagonal/>
    </border>
    <border>
      <left/>
      <right style="thin">
        <color rgb="FF16324F"/>
      </right>
      <top style="thin">
        <color rgb="FF16324F"/>
      </top>
      <bottom style="thin">
        <color rgb="FF16324F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A7D7C5"/>
      </top>
      <bottom style="thin">
        <color rgb="FFA7D7C5"/>
      </bottom>
      <diagonal/>
    </border>
    <border>
      <left/>
      <right style="thin">
        <color rgb="FFA7D7C5"/>
      </right>
      <top style="thin">
        <color rgb="FFA7D7C5"/>
      </top>
      <bottom style="thin">
        <color rgb="FFA7D7C5"/>
      </bottom>
      <diagonal/>
    </border>
    <border>
      <left/>
      <right/>
      <top style="thin">
        <color rgb="FFD1D5DB"/>
      </top>
      <bottom style="thin">
        <color rgb="FFD1D5DB"/>
      </bottom>
      <diagonal/>
    </border>
    <border>
      <left/>
      <right style="thin">
        <color rgb="FFD1D5DB"/>
      </right>
      <top style="thin">
        <color rgb="FFD1D5DB"/>
      </top>
      <bottom style="thin">
        <color rgb="FFD1D5DB"/>
      </bottom>
      <diagonal/>
    </border>
    <border>
      <left/>
      <right/>
      <top style="thin">
        <color rgb="FFE9D8A6"/>
      </top>
      <bottom style="thin">
        <color rgb="FFE9D8A6"/>
      </bottom>
      <diagonal/>
    </border>
    <border>
      <left/>
      <right style="thin">
        <color rgb="FFE9D8A6"/>
      </right>
      <top style="thin">
        <color rgb="FFE9D8A6"/>
      </top>
      <bottom style="thin">
        <color rgb="FFE9D8A6"/>
      </bottom>
      <diagonal/>
    </border>
    <border>
      <left style="thin">
        <color rgb="FFA7D7C5"/>
      </left>
      <right style="thin">
        <color rgb="FFA7D7C5"/>
      </right>
      <top style="thin">
        <color rgb="FFA7D7C5"/>
      </top>
      <bottom style="thin">
        <color rgb="FFA7D7C5"/>
      </bottom>
      <diagonal/>
    </border>
    <border>
      <left style="thin">
        <color rgb="FFE9D8A6"/>
      </left>
      <right style="thin">
        <color rgb="FFE9D8A6"/>
      </right>
      <top style="thin">
        <color rgb="FFE9D8A6"/>
      </top>
      <bottom style="thin">
        <color rgb="FFE9D8A6"/>
      </bottom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rgb="FFA7D7C5"/>
      </left>
      <right style="thin">
        <color rgb="FFA7D7C5"/>
      </right>
      <top style="thin">
        <color rgb="FFA7D7C5"/>
      </top>
      <bottom style="thin">
        <color rgb="FFA7D7C5"/>
      </bottom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/>
      <right/>
      <top style="thin">
        <color rgb="FFA7D7C5"/>
      </top>
      <bottom/>
      <diagonal/>
    </border>
    <border>
      <left/>
      <right style="thin">
        <color rgb="FFA7D7C5"/>
      </right>
      <top style="thin">
        <color rgb="FFA7D7C5"/>
      </top>
      <bottom/>
      <diagonal/>
    </border>
    <border>
      <left style="thin">
        <color rgb="FFA7D7C5"/>
      </left>
      <right/>
      <top/>
      <bottom style="thin">
        <color rgb="FFA7D7C5"/>
      </bottom>
      <diagonal/>
    </border>
    <border>
      <left/>
      <right/>
      <top/>
      <bottom style="thin">
        <color rgb="FFA7D7C5"/>
      </bottom>
      <diagonal/>
    </border>
    <border>
      <left/>
      <right style="thin">
        <color rgb="FFA7D7C5"/>
      </right>
      <top/>
      <bottom style="thin">
        <color rgb="FFA7D7C5"/>
      </bottom>
      <diagonal/>
    </border>
    <border>
      <left/>
      <right/>
      <top style="thin">
        <color rgb="FFD1D5DB"/>
      </top>
      <bottom style="thin">
        <color rgb="FFD1D5DB"/>
      </bottom>
      <diagonal/>
    </border>
    <border>
      <left/>
      <right style="thin">
        <color rgb="FFD1D5DB"/>
      </right>
      <top style="thin">
        <color rgb="FFD1D5DB"/>
      </top>
      <bottom style="thin">
        <color rgb="FFD1D5DB"/>
      </bottom>
      <diagonal/>
    </border>
    <border>
      <left/>
      <right/>
      <top style="thin">
        <color rgb="FFA7D7C5"/>
      </top>
      <bottom style="thin">
        <color rgb="FFA7D7C5"/>
      </bottom>
      <diagonal/>
    </border>
    <border>
      <left/>
      <right style="thin">
        <color rgb="FFA7D7C5"/>
      </right>
      <top style="thin">
        <color rgb="FFA7D7C5"/>
      </top>
      <bottom style="thin">
        <color rgb="FFA7D7C5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vertical="center" wrapText="1"/>
    </xf>
    <xf numFmtId="0" fontId="4" fillId="7" borderId="4" xfId="0" applyFont="1" applyFill="1" applyBorder="1" applyAlignment="1">
      <alignment horizontal="center" vertical="center" wrapText="1"/>
    </xf>
    <xf numFmtId="1" fontId="4" fillId="8" borderId="4" xfId="0" applyNumberFormat="1" applyFont="1" applyFill="1" applyBorder="1" applyAlignment="1">
      <alignment horizontal="center" vertical="center" wrapText="1"/>
    </xf>
    <xf numFmtId="0" fontId="4" fillId="9" borderId="4" xfId="0" applyFont="1" applyFill="1" applyBorder="1" applyAlignment="1">
      <alignment horizontal="center" vertical="center" wrapText="1"/>
    </xf>
    <xf numFmtId="1" fontId="4" fillId="10" borderId="4" xfId="0" applyNumberFormat="1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1" fontId="4" fillId="11" borderId="4" xfId="0" applyNumberFormat="1" applyFont="1" applyFill="1" applyBorder="1" applyAlignment="1">
      <alignment horizontal="center" vertical="center" wrapText="1"/>
    </xf>
    <xf numFmtId="0" fontId="12" fillId="18" borderId="15" xfId="0" applyFont="1" applyFill="1" applyBorder="1" applyAlignment="1">
      <alignment horizontal="center" vertical="center"/>
    </xf>
    <xf numFmtId="0" fontId="11" fillId="14" borderId="15" xfId="0" applyFont="1" applyFill="1" applyBorder="1" applyAlignment="1">
      <alignment horizontal="left" vertical="center" wrapText="1"/>
    </xf>
    <xf numFmtId="0" fontId="9" fillId="16" borderId="15" xfId="0" applyFont="1" applyFill="1" applyBorder="1" applyAlignment="1">
      <alignment horizontal="center" vertical="center" wrapText="1"/>
    </xf>
    <xf numFmtId="0" fontId="9" fillId="16" borderId="15" xfId="0" applyFont="1" applyFill="1" applyBorder="1" applyAlignment="1">
      <alignment vertical="center" wrapText="1"/>
    </xf>
    <xf numFmtId="0" fontId="9" fillId="19" borderId="15" xfId="0" applyFont="1" applyFill="1" applyBorder="1" applyAlignment="1">
      <alignment vertical="center" wrapText="1"/>
    </xf>
    <xf numFmtId="0" fontId="10" fillId="13" borderId="15" xfId="0" applyFont="1" applyFill="1" applyBorder="1" applyAlignment="1">
      <alignment horizontal="center" vertical="center" wrapText="1"/>
    </xf>
    <xf numFmtId="0" fontId="9" fillId="15" borderId="15" xfId="0" applyFont="1" applyFill="1" applyBorder="1" applyAlignment="1">
      <alignment horizontal="left" vertical="center" wrapText="1"/>
    </xf>
    <xf numFmtId="0" fontId="11" fillId="15" borderId="15" xfId="0" applyFont="1" applyFill="1" applyBorder="1" applyAlignment="1">
      <alignment horizontal="center" vertical="center" wrapText="1"/>
    </xf>
    <xf numFmtId="0" fontId="11" fillId="16" borderId="15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left" vertical="center" wrapText="1"/>
    </xf>
    <xf numFmtId="0" fontId="11" fillId="17" borderId="15" xfId="0" applyFont="1" applyFill="1" applyBorder="1" applyAlignment="1">
      <alignment horizontal="center" vertical="center" wrapText="1"/>
    </xf>
    <xf numFmtId="0" fontId="12" fillId="18" borderId="15" xfId="0" applyFont="1" applyFill="1" applyBorder="1"/>
    <xf numFmtId="0" fontId="11" fillId="16" borderId="15" xfId="0" applyFont="1" applyFill="1" applyBorder="1" applyAlignment="1">
      <alignment horizontal="center"/>
    </xf>
    <xf numFmtId="0" fontId="9" fillId="14" borderId="15" xfId="0" applyFont="1" applyFill="1" applyBorder="1" applyAlignment="1">
      <alignment wrapText="1"/>
    </xf>
    <xf numFmtId="0" fontId="11" fillId="19" borderId="15" xfId="0" applyFont="1" applyFill="1" applyBorder="1" applyAlignment="1">
      <alignment horizontal="center" vertical="center"/>
    </xf>
    <xf numFmtId="0" fontId="11" fillId="19" borderId="15" xfId="0" applyFont="1" applyFill="1" applyBorder="1" applyAlignment="1">
      <alignment horizontal="center"/>
    </xf>
    <xf numFmtId="0" fontId="3" fillId="12" borderId="11" xfId="0" applyFont="1" applyFill="1" applyBorder="1" applyAlignment="1">
      <alignment wrapText="1"/>
    </xf>
    <xf numFmtId="0" fontId="0" fillId="0" borderId="5" xfId="0" applyBorder="1"/>
    <xf numFmtId="0" fontId="0" fillId="0" borderId="6" xfId="0" applyBorder="1"/>
    <xf numFmtId="0" fontId="1" fillId="3" borderId="13" xfId="0" applyFont="1" applyFill="1" applyBorder="1"/>
    <xf numFmtId="0" fontId="0" fillId="0" borderId="7" xfId="0" applyBorder="1"/>
    <xf numFmtId="0" fontId="0" fillId="0" borderId="8" xfId="0" applyBorder="1"/>
    <xf numFmtId="0" fontId="1" fillId="5" borderId="13" xfId="0" applyFont="1" applyFill="1" applyBorder="1"/>
    <xf numFmtId="0" fontId="6" fillId="6" borderId="13" xfId="0" applyFont="1" applyFill="1" applyBorder="1" applyAlignment="1">
      <alignment horizontal="center"/>
    </xf>
    <xf numFmtId="0" fontId="9" fillId="14" borderId="14" xfId="0" applyFont="1" applyFill="1" applyBorder="1" applyAlignment="1">
      <alignment vertical="center" wrapText="1"/>
    </xf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5" fillId="2" borderId="0" xfId="0" applyFont="1" applyFill="1" applyAlignment="1">
      <alignment horizontal="center" vertical="center"/>
    </xf>
    <xf numFmtId="0" fontId="0" fillId="0" borderId="0" xfId="0"/>
    <xf numFmtId="0" fontId="6" fillId="4" borderId="11" xfId="0" applyFont="1" applyFill="1" applyBorder="1"/>
    <xf numFmtId="0" fontId="7" fillId="12" borderId="12" xfId="0" applyFont="1" applyFill="1" applyBorder="1" applyAlignment="1">
      <alignment wrapText="1"/>
    </xf>
    <xf numFmtId="0" fontId="0" fillId="0" borderId="9" xfId="0" applyBorder="1"/>
    <xf numFmtId="0" fontId="0" fillId="0" borderId="10" xfId="0" applyBorder="1"/>
    <xf numFmtId="2" fontId="6" fillId="6" borderId="13" xfId="0" applyNumberFormat="1" applyFont="1" applyFill="1" applyBorder="1" applyAlignment="1">
      <alignment horizontal="center"/>
    </xf>
    <xf numFmtId="0" fontId="13" fillId="13" borderId="15" xfId="0" applyFont="1" applyFill="1" applyBorder="1" applyAlignment="1">
      <alignment horizontal="center"/>
    </xf>
    <xf numFmtId="0" fontId="0" fillId="0" borderId="21" xfId="0" applyBorder="1"/>
    <xf numFmtId="0" fontId="0" fillId="0" borderId="22" xfId="0" applyBorder="1"/>
    <xf numFmtId="0" fontId="12" fillId="18" borderId="15" xfId="0" applyFont="1" applyFill="1" applyBorder="1" applyAlignment="1">
      <alignment horizontal="center"/>
    </xf>
    <xf numFmtId="0" fontId="8" fillId="13" borderId="0" xfId="0" applyFont="1" applyFill="1" applyAlignment="1">
      <alignment horizontal="center" vertical="center"/>
    </xf>
    <xf numFmtId="0" fontId="0" fillId="0" borderId="23" xfId="0" applyBorder="1"/>
    <xf numFmtId="0" fontId="0" fillId="0" borderId="24" xfId="0" applyBorder="1"/>
    <xf numFmtId="0" fontId="5" fillId="1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"/>
  <sheetViews>
    <sheetView showGridLines="0" workbookViewId="0">
      <selection activeCell="A11" sqref="A11:H11"/>
    </sheetView>
  </sheetViews>
  <sheetFormatPr baseColWidth="10" defaultColWidth="8.796875" defaultRowHeight="13.8"/>
  <cols>
    <col min="1" max="1" width="8.69921875" customWidth="1"/>
    <col min="2" max="2" width="21.19921875" customWidth="1"/>
    <col min="3" max="3" width="17.5" customWidth="1"/>
    <col min="4" max="4" width="25" customWidth="1"/>
    <col min="5" max="5" width="42.5" customWidth="1"/>
    <col min="6" max="6" width="11.8984375" customWidth="1"/>
    <col min="7" max="7" width="10" customWidth="1"/>
    <col min="8" max="8" width="31.19921875" customWidth="1"/>
  </cols>
  <sheetData>
    <row r="1" spans="1:8" ht="25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</row>
    <row r="2" spans="1:8" ht="26.4" customHeight="1">
      <c r="A2" s="4">
        <v>1</v>
      </c>
      <c r="B2" s="4" t="s">
        <v>8</v>
      </c>
      <c r="C2" s="4" t="s">
        <v>9</v>
      </c>
      <c r="D2" s="4" t="s">
        <v>10</v>
      </c>
      <c r="E2" s="4" t="s">
        <v>11</v>
      </c>
      <c r="F2" s="5" t="s">
        <v>12</v>
      </c>
      <c r="G2" s="6">
        <v>2</v>
      </c>
      <c r="H2" s="4" t="s">
        <v>13</v>
      </c>
    </row>
    <row r="3" spans="1:8" ht="26.4" customHeight="1">
      <c r="A3" s="4">
        <v>2</v>
      </c>
      <c r="B3" s="4" t="s">
        <v>14</v>
      </c>
      <c r="C3" s="4" t="s">
        <v>15</v>
      </c>
      <c r="D3" s="4" t="s">
        <v>16</v>
      </c>
      <c r="E3" s="4" t="s">
        <v>17</v>
      </c>
      <c r="F3" s="7" t="s">
        <v>18</v>
      </c>
      <c r="G3" s="8">
        <v>3</v>
      </c>
      <c r="H3" s="4" t="s">
        <v>19</v>
      </c>
    </row>
    <row r="4" spans="1:8" ht="26.4" customHeight="1">
      <c r="A4" s="4">
        <v>3</v>
      </c>
      <c r="B4" s="4" t="s">
        <v>20</v>
      </c>
      <c r="C4" s="4" t="s">
        <v>21</v>
      </c>
      <c r="D4" s="4" t="s">
        <v>22</v>
      </c>
      <c r="E4" s="4" t="s">
        <v>23</v>
      </c>
      <c r="F4" s="5" t="s">
        <v>12</v>
      </c>
      <c r="G4" s="6">
        <v>2</v>
      </c>
      <c r="H4" s="4" t="s">
        <v>24</v>
      </c>
    </row>
    <row r="5" spans="1:8" ht="26.4" customHeight="1">
      <c r="A5" s="4">
        <v>4</v>
      </c>
      <c r="B5" s="4" t="s">
        <v>25</v>
      </c>
      <c r="C5" s="4" t="s">
        <v>26</v>
      </c>
      <c r="D5" s="4" t="s">
        <v>27</v>
      </c>
      <c r="E5" s="4" t="s">
        <v>28</v>
      </c>
      <c r="F5" s="5" t="s">
        <v>12</v>
      </c>
      <c r="G5" s="6">
        <v>2</v>
      </c>
      <c r="H5" s="4" t="s">
        <v>29</v>
      </c>
    </row>
    <row r="6" spans="1:8" ht="26.4" customHeight="1">
      <c r="A6" s="4">
        <v>5</v>
      </c>
      <c r="B6" s="4" t="s">
        <v>30</v>
      </c>
      <c r="C6" s="4" t="s">
        <v>31</v>
      </c>
      <c r="D6" s="4" t="s">
        <v>32</v>
      </c>
      <c r="E6" s="4" t="s">
        <v>33</v>
      </c>
      <c r="F6" s="7" t="s">
        <v>18</v>
      </c>
      <c r="G6" s="8">
        <v>3</v>
      </c>
      <c r="H6" s="4" t="s">
        <v>34</v>
      </c>
    </row>
    <row r="7" spans="1:8" ht="26.4" customHeight="1">
      <c r="A7" s="4">
        <v>6</v>
      </c>
      <c r="B7" s="4" t="s">
        <v>35</v>
      </c>
      <c r="C7" s="4" t="s">
        <v>36</v>
      </c>
      <c r="D7" s="4" t="s">
        <v>37</v>
      </c>
      <c r="E7" s="4" t="s">
        <v>38</v>
      </c>
      <c r="F7" s="7" t="s">
        <v>18</v>
      </c>
      <c r="G7" s="8">
        <v>3</v>
      </c>
      <c r="H7" s="4" t="s">
        <v>39</v>
      </c>
    </row>
    <row r="8" spans="1:8" ht="26.4" customHeight="1">
      <c r="A8" s="4">
        <v>7</v>
      </c>
      <c r="B8" s="4" t="s">
        <v>40</v>
      </c>
      <c r="C8" s="4" t="s">
        <v>41</v>
      </c>
      <c r="D8" s="4" t="s">
        <v>42</v>
      </c>
      <c r="E8" s="4" t="s">
        <v>43</v>
      </c>
      <c r="F8" s="5" t="s">
        <v>12</v>
      </c>
      <c r="G8" s="6">
        <v>2</v>
      </c>
      <c r="H8" s="4" t="s">
        <v>44</v>
      </c>
    </row>
    <row r="9" spans="1:8" ht="26.4" customHeight="1">
      <c r="A9" s="4">
        <v>8</v>
      </c>
      <c r="B9" s="4" t="s">
        <v>45</v>
      </c>
      <c r="C9" s="4" t="s">
        <v>46</v>
      </c>
      <c r="D9" s="4" t="s">
        <v>22</v>
      </c>
      <c r="E9" s="4" t="s">
        <v>47</v>
      </c>
      <c r="F9" s="9" t="s">
        <v>48</v>
      </c>
      <c r="G9" s="10">
        <v>1</v>
      </c>
      <c r="H9" s="4" t="s">
        <v>49</v>
      </c>
    </row>
    <row r="11" spans="1:8" ht="31.5" customHeight="1">
      <c r="A11" s="27"/>
      <c r="B11" s="28"/>
      <c r="C11" s="28"/>
      <c r="D11" s="28"/>
      <c r="E11" s="28"/>
      <c r="F11" s="28"/>
      <c r="G11" s="28"/>
      <c r="H11" s="29"/>
    </row>
  </sheetData>
  <mergeCells count="1">
    <mergeCell ref="A11:H1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9"/>
  <sheetViews>
    <sheetView showGridLines="0" workbookViewId="0">
      <selection activeCell="B15" sqref="B15"/>
    </sheetView>
  </sheetViews>
  <sheetFormatPr baseColWidth="10" defaultColWidth="8.796875" defaultRowHeight="13.8"/>
  <cols>
    <col min="1" max="1" width="15" customWidth="1"/>
    <col min="2" max="8" width="22.5" customWidth="1"/>
  </cols>
  <sheetData>
    <row r="1" spans="1:8" ht="27" customHeight="1">
      <c r="A1" s="41" t="s">
        <v>50</v>
      </c>
      <c r="B1" s="42"/>
      <c r="C1" s="42"/>
      <c r="D1" s="42"/>
      <c r="E1" s="42"/>
      <c r="F1" s="42"/>
      <c r="G1" s="42"/>
      <c r="H1" s="42"/>
    </row>
    <row r="3" spans="1:8">
      <c r="A3" s="30" t="s">
        <v>51</v>
      </c>
      <c r="B3" s="31"/>
      <c r="C3" s="31"/>
      <c r="D3" s="32"/>
      <c r="E3" s="43" t="s">
        <v>52</v>
      </c>
      <c r="F3" s="28"/>
      <c r="G3" s="28"/>
      <c r="H3" s="29"/>
    </row>
    <row r="4" spans="1:8">
      <c r="A4" s="30" t="s">
        <v>53</v>
      </c>
      <c r="B4" s="31"/>
      <c r="C4" s="31"/>
      <c r="D4" s="32"/>
      <c r="E4" s="43" t="s">
        <v>54</v>
      </c>
      <c r="F4" s="28"/>
      <c r="G4" s="28"/>
      <c r="H4" s="29"/>
    </row>
    <row r="5" spans="1:8">
      <c r="A5" s="30" t="s">
        <v>55</v>
      </c>
      <c r="B5" s="31"/>
      <c r="C5" s="31"/>
      <c r="D5" s="32"/>
      <c r="E5" s="43" t="s">
        <v>56</v>
      </c>
      <c r="F5" s="28"/>
      <c r="G5" s="28"/>
      <c r="H5" s="29"/>
    </row>
    <row r="6" spans="1:8">
      <c r="A6" s="33" t="s">
        <v>57</v>
      </c>
      <c r="B6" s="31"/>
      <c r="C6" s="31"/>
      <c r="D6" s="32"/>
      <c r="E6" s="34">
        <f>COUNTA(Heuristica!A2:A9)</f>
        <v>8</v>
      </c>
      <c r="F6" s="31"/>
      <c r="G6" s="31"/>
      <c r="H6" s="32"/>
    </row>
    <row r="7" spans="1:8">
      <c r="A7" s="33" t="s">
        <v>58</v>
      </c>
      <c r="B7" s="31"/>
      <c r="C7" s="31"/>
      <c r="D7" s="32"/>
      <c r="E7" s="34">
        <f>COUNTIF(Heuristica!F2:F9,"Alta")</f>
        <v>3</v>
      </c>
      <c r="F7" s="31"/>
      <c r="G7" s="31"/>
      <c r="H7" s="32"/>
    </row>
    <row r="8" spans="1:8">
      <c r="A8" s="33" t="s">
        <v>59</v>
      </c>
      <c r="B8" s="31"/>
      <c r="C8" s="31"/>
      <c r="D8" s="32"/>
      <c r="E8" s="34">
        <f>COUNTIF(Heuristica!F2:F9,"Media")</f>
        <v>4</v>
      </c>
      <c r="F8" s="31"/>
      <c r="G8" s="31"/>
      <c r="H8" s="32"/>
    </row>
    <row r="9" spans="1:8">
      <c r="A9" s="33" t="s">
        <v>60</v>
      </c>
      <c r="B9" s="31"/>
      <c r="C9" s="31"/>
      <c r="D9" s="32"/>
      <c r="E9" s="34">
        <f>COUNTIF(Heuristica!F2:F9,"Baja")</f>
        <v>1</v>
      </c>
      <c r="F9" s="31"/>
      <c r="G9" s="31"/>
      <c r="H9" s="32"/>
    </row>
    <row r="10" spans="1:8">
      <c r="A10" s="33" t="s">
        <v>61</v>
      </c>
      <c r="B10" s="31"/>
      <c r="C10" s="31"/>
      <c r="D10" s="32"/>
      <c r="E10" s="47">
        <f>AVERAGE(Heuristica!G2:G9)</f>
        <v>2.25</v>
      </c>
      <c r="F10" s="31"/>
      <c r="G10" s="31"/>
      <c r="H10" s="32"/>
    </row>
    <row r="12" spans="1:8" ht="36" customHeight="1">
      <c r="A12" s="44"/>
      <c r="B12" s="45"/>
      <c r="C12" s="45"/>
      <c r="D12" s="45"/>
      <c r="E12" s="45"/>
      <c r="F12" s="45"/>
      <c r="G12" s="45"/>
      <c r="H12" s="46"/>
    </row>
    <row r="13" spans="1:8" ht="24" customHeight="1">
      <c r="A13" s="48" t="s">
        <v>62</v>
      </c>
      <c r="B13" s="49"/>
      <c r="C13" s="49"/>
      <c r="D13" s="49"/>
      <c r="E13" s="49"/>
      <c r="F13" s="49"/>
      <c r="G13" s="49"/>
      <c r="H13" s="50"/>
    </row>
    <row r="14" spans="1:8">
      <c r="A14" s="11" t="s">
        <v>63</v>
      </c>
      <c r="B14" s="11" t="s">
        <v>64</v>
      </c>
      <c r="C14" s="11" t="s">
        <v>65</v>
      </c>
      <c r="D14" s="51" t="s">
        <v>66</v>
      </c>
      <c r="E14" s="49"/>
      <c r="F14" s="49"/>
      <c r="G14" s="49"/>
      <c r="H14" s="50"/>
    </row>
    <row r="15" spans="1:8" ht="39.6">
      <c r="A15" s="12" t="s">
        <v>67</v>
      </c>
      <c r="B15" s="13">
        <v>2.23</v>
      </c>
      <c r="C15" s="13" t="s">
        <v>18</v>
      </c>
      <c r="D15" s="14" t="s">
        <v>68</v>
      </c>
      <c r="E15" s="14"/>
      <c r="F15" s="14"/>
      <c r="G15" s="14"/>
      <c r="H15" s="14"/>
    </row>
    <row r="16" spans="1:8" ht="39.6">
      <c r="A16" s="12" t="s">
        <v>69</v>
      </c>
      <c r="B16" s="13">
        <v>1.53</v>
      </c>
      <c r="C16" s="13" t="s">
        <v>70</v>
      </c>
      <c r="D16" s="15" t="s">
        <v>71</v>
      </c>
      <c r="E16" s="15"/>
      <c r="F16" s="15"/>
      <c r="G16" s="15"/>
      <c r="H16" s="15"/>
    </row>
    <row r="18" spans="1:8" ht="34.049999999999997" customHeight="1">
      <c r="A18" s="35" t="s">
        <v>72</v>
      </c>
      <c r="B18" s="36"/>
      <c r="C18" s="36"/>
      <c r="D18" s="36"/>
      <c r="E18" s="36"/>
      <c r="F18" s="36"/>
      <c r="G18" s="36"/>
      <c r="H18" s="37"/>
    </row>
    <row r="19" spans="1:8" ht="18" customHeight="1">
      <c r="A19" s="38"/>
      <c r="B19" s="39"/>
      <c r="C19" s="39"/>
      <c r="D19" s="39"/>
      <c r="E19" s="39"/>
      <c r="F19" s="39"/>
      <c r="G19" s="39"/>
      <c r="H19" s="40"/>
    </row>
  </sheetData>
  <mergeCells count="21">
    <mergeCell ref="A1:H1"/>
    <mergeCell ref="A10:D10"/>
    <mergeCell ref="A9:D9"/>
    <mergeCell ref="E3:H3"/>
    <mergeCell ref="E5:H5"/>
    <mergeCell ref="E8:H8"/>
    <mergeCell ref="A6:D6"/>
    <mergeCell ref="E4:H4"/>
    <mergeCell ref="A7:D7"/>
    <mergeCell ref="E10:H10"/>
    <mergeCell ref="E9:H9"/>
    <mergeCell ref="A3:D3"/>
    <mergeCell ref="E6:H6"/>
    <mergeCell ref="A5:D5"/>
    <mergeCell ref="A8:D8"/>
    <mergeCell ref="A4:D4"/>
    <mergeCell ref="E7:H7"/>
    <mergeCell ref="A18:H19"/>
    <mergeCell ref="A12:H12"/>
    <mergeCell ref="A13:H13"/>
    <mergeCell ref="D14:H1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4"/>
  <sheetViews>
    <sheetView showGridLines="0" tabSelected="1" workbookViewId="0">
      <pane ySplit="3" topLeftCell="A4" activePane="bottomLeft" state="frozen"/>
      <selection pane="bottomLeft" sqref="A1:I1"/>
    </sheetView>
  </sheetViews>
  <sheetFormatPr baseColWidth="10" defaultColWidth="8.796875" defaultRowHeight="13.8"/>
  <cols>
    <col min="1" max="1" width="22" customWidth="1"/>
    <col min="2" max="8" width="18" customWidth="1"/>
    <col min="9" max="9" width="14" customWidth="1"/>
  </cols>
  <sheetData>
    <row r="1" spans="1:9" ht="28.05" customHeight="1">
      <c r="A1" s="52" t="s">
        <v>73</v>
      </c>
      <c r="B1" s="42"/>
      <c r="C1" s="42"/>
      <c r="D1" s="42"/>
      <c r="E1" s="42"/>
      <c r="F1" s="42"/>
      <c r="G1" s="42"/>
      <c r="H1" s="42"/>
      <c r="I1" s="42"/>
    </row>
    <row r="2" spans="1:9" ht="37.950000000000003" customHeight="1">
      <c r="A2" s="35" t="s">
        <v>74</v>
      </c>
      <c r="B2" s="53"/>
      <c r="C2" s="53"/>
      <c r="D2" s="53"/>
      <c r="E2" s="53"/>
      <c r="F2" s="53"/>
      <c r="G2" s="53"/>
      <c r="H2" s="53"/>
      <c r="I2" s="54"/>
    </row>
    <row r="4" spans="1:9" ht="28.05" customHeight="1">
      <c r="A4" s="16" t="s">
        <v>75</v>
      </c>
      <c r="B4" s="16" t="s">
        <v>76</v>
      </c>
      <c r="C4" s="16" t="s">
        <v>77</v>
      </c>
      <c r="D4" s="16" t="s">
        <v>78</v>
      </c>
      <c r="E4" s="16" t="s">
        <v>79</v>
      </c>
      <c r="F4" s="16" t="s">
        <v>80</v>
      </c>
      <c r="G4" s="16" t="s">
        <v>81</v>
      </c>
      <c r="H4" s="16" t="s">
        <v>82</v>
      </c>
      <c r="I4" s="16" t="s">
        <v>64</v>
      </c>
    </row>
    <row r="5" spans="1:9">
      <c r="A5" s="17" t="s">
        <v>8</v>
      </c>
      <c r="B5" s="18">
        <v>2</v>
      </c>
      <c r="C5" s="18">
        <v>2</v>
      </c>
      <c r="D5" s="18">
        <v>3</v>
      </c>
      <c r="E5" s="18">
        <v>2</v>
      </c>
      <c r="F5" s="18">
        <v>2</v>
      </c>
      <c r="G5" s="18">
        <v>2</v>
      </c>
      <c r="H5" s="18">
        <v>2</v>
      </c>
      <c r="I5" s="19">
        <v>2.14</v>
      </c>
    </row>
    <row r="6" spans="1:9">
      <c r="A6" s="20" t="s">
        <v>14</v>
      </c>
      <c r="B6" s="21">
        <v>3</v>
      </c>
      <c r="C6" s="21">
        <v>2</v>
      </c>
      <c r="D6" s="21">
        <v>3</v>
      </c>
      <c r="E6" s="21">
        <v>2</v>
      </c>
      <c r="F6" s="21">
        <v>3</v>
      </c>
      <c r="G6" s="21">
        <v>2</v>
      </c>
      <c r="H6" s="21">
        <v>3</v>
      </c>
      <c r="I6" s="19">
        <v>2.57</v>
      </c>
    </row>
    <row r="7" spans="1:9">
      <c r="A7" s="17" t="s">
        <v>20</v>
      </c>
      <c r="B7" s="18">
        <v>2</v>
      </c>
      <c r="C7" s="18">
        <v>1</v>
      </c>
      <c r="D7" s="18">
        <v>2</v>
      </c>
      <c r="E7" s="18">
        <v>2</v>
      </c>
      <c r="F7" s="18">
        <v>2</v>
      </c>
      <c r="G7" s="18">
        <v>1</v>
      </c>
      <c r="H7" s="18">
        <v>2</v>
      </c>
      <c r="I7" s="19">
        <v>1.71</v>
      </c>
    </row>
    <row r="8" spans="1:9">
      <c r="A8" s="20" t="s">
        <v>25</v>
      </c>
      <c r="B8" s="21">
        <v>3</v>
      </c>
      <c r="C8" s="21">
        <v>3</v>
      </c>
      <c r="D8" s="21">
        <v>3</v>
      </c>
      <c r="E8" s="21">
        <v>3</v>
      </c>
      <c r="F8" s="21">
        <v>3</v>
      </c>
      <c r="G8" s="21">
        <v>2</v>
      </c>
      <c r="H8" s="21">
        <v>3</v>
      </c>
      <c r="I8" s="19">
        <v>2.86</v>
      </c>
    </row>
    <row r="9" spans="1:9">
      <c r="A9" s="17" t="s">
        <v>83</v>
      </c>
      <c r="B9" s="18">
        <v>2</v>
      </c>
      <c r="C9" s="18">
        <v>2</v>
      </c>
      <c r="D9" s="18">
        <v>2</v>
      </c>
      <c r="E9" s="18">
        <v>2</v>
      </c>
      <c r="F9" s="18">
        <v>2</v>
      </c>
      <c r="G9" s="18">
        <v>2</v>
      </c>
      <c r="H9" s="18">
        <v>2</v>
      </c>
      <c r="I9" s="19">
        <v>2</v>
      </c>
    </row>
    <row r="10" spans="1:9">
      <c r="A10" t="s">
        <v>35</v>
      </c>
      <c r="B10">
        <v>3</v>
      </c>
      <c r="C10">
        <v>2</v>
      </c>
      <c r="D10">
        <v>2</v>
      </c>
      <c r="E10">
        <v>3</v>
      </c>
      <c r="F10">
        <v>2</v>
      </c>
      <c r="G10">
        <v>3</v>
      </c>
      <c r="H10">
        <v>2</v>
      </c>
      <c r="I10">
        <v>2.4300000000000002</v>
      </c>
    </row>
    <row r="11" spans="1:9" ht="26.4">
      <c r="A11" s="22" t="s">
        <v>40</v>
      </c>
      <c r="B11" s="22">
        <v>2</v>
      </c>
      <c r="C11" s="23">
        <v>2.2599999999999998</v>
      </c>
      <c r="D11" s="22">
        <v>3</v>
      </c>
      <c r="E11" s="24" t="s">
        <v>84</v>
      </c>
      <c r="F11">
        <v>2</v>
      </c>
      <c r="G11">
        <v>2</v>
      </c>
      <c r="H11">
        <v>3</v>
      </c>
      <c r="I11">
        <v>2.29</v>
      </c>
    </row>
    <row r="12" spans="1:9">
      <c r="A12" t="s">
        <v>45</v>
      </c>
      <c r="B12">
        <v>3</v>
      </c>
      <c r="C12">
        <v>3</v>
      </c>
      <c r="D12">
        <v>2</v>
      </c>
      <c r="E12">
        <v>3</v>
      </c>
      <c r="F12">
        <v>3</v>
      </c>
      <c r="G12">
        <v>3</v>
      </c>
      <c r="H12">
        <v>2</v>
      </c>
      <c r="I12">
        <v>2.71</v>
      </c>
    </row>
    <row r="13" spans="1:9" ht="40.049999999999997" customHeight="1">
      <c r="A13" s="35" t="s">
        <v>85</v>
      </c>
      <c r="B13" s="36"/>
      <c r="C13" s="36"/>
      <c r="D13" s="36"/>
      <c r="E13" s="36"/>
      <c r="F13" s="36"/>
      <c r="G13" s="36"/>
      <c r="H13" s="36"/>
      <c r="I13" s="37"/>
    </row>
    <row r="14" spans="1:9" ht="18" customHeight="1">
      <c r="A14" s="38"/>
      <c r="B14" s="39"/>
      <c r="C14" s="39"/>
      <c r="D14" s="39"/>
      <c r="E14" s="39"/>
      <c r="F14" s="39"/>
      <c r="G14" s="39"/>
      <c r="H14" s="39"/>
      <c r="I14" s="40"/>
    </row>
  </sheetData>
  <mergeCells count="3">
    <mergeCell ref="A1:I1"/>
    <mergeCell ref="A13:I14"/>
    <mergeCell ref="A2:I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4"/>
  <sheetViews>
    <sheetView showGridLines="0" workbookViewId="0">
      <pane ySplit="3" topLeftCell="A4" activePane="bottomLeft" state="frozen"/>
      <selection pane="bottomLeft" sqref="A1:H1"/>
    </sheetView>
  </sheetViews>
  <sheetFormatPr baseColWidth="10" defaultColWidth="8.796875" defaultRowHeight="13.8"/>
  <cols>
    <col min="1" max="1" width="22" customWidth="1"/>
    <col min="2" max="7" width="16" customWidth="1"/>
    <col min="8" max="8" width="14" customWidth="1"/>
  </cols>
  <sheetData>
    <row r="1" spans="1:8" ht="28.05" customHeight="1">
      <c r="A1" s="55" t="s">
        <v>95</v>
      </c>
      <c r="B1" s="42"/>
      <c r="C1" s="42"/>
      <c r="D1" s="42"/>
      <c r="E1" s="42"/>
      <c r="F1" s="42"/>
      <c r="G1" s="42"/>
      <c r="H1" s="42"/>
    </row>
    <row r="2" spans="1:8" ht="37.950000000000003" customHeight="1">
      <c r="A2" s="35" t="s">
        <v>86</v>
      </c>
      <c r="B2" s="53"/>
      <c r="C2" s="53"/>
      <c r="D2" s="53"/>
      <c r="E2" s="53"/>
      <c r="F2" s="53"/>
      <c r="G2" s="53"/>
      <c r="H2" s="54"/>
    </row>
    <row r="4" spans="1:8" ht="28.05" customHeight="1">
      <c r="A4" s="16" t="s">
        <v>75</v>
      </c>
      <c r="B4" s="16" t="s">
        <v>87</v>
      </c>
      <c r="C4" s="16" t="s">
        <v>88</v>
      </c>
      <c r="D4" s="16" t="s">
        <v>89</v>
      </c>
      <c r="E4" s="16" t="s">
        <v>90</v>
      </c>
      <c r="F4" s="16" t="s">
        <v>91</v>
      </c>
      <c r="G4" s="16" t="s">
        <v>92</v>
      </c>
      <c r="H4" s="16" t="s">
        <v>64</v>
      </c>
    </row>
    <row r="5" spans="1:8">
      <c r="A5" s="17" t="s">
        <v>8</v>
      </c>
      <c r="B5" s="18">
        <v>1</v>
      </c>
      <c r="C5" s="18">
        <v>2</v>
      </c>
      <c r="D5" s="18">
        <v>1</v>
      </c>
      <c r="E5" s="18">
        <v>1</v>
      </c>
      <c r="F5" s="18">
        <v>2</v>
      </c>
      <c r="G5" s="18">
        <v>1</v>
      </c>
      <c r="H5" s="25">
        <v>1.33</v>
      </c>
    </row>
    <row r="6" spans="1:8">
      <c r="A6" s="20" t="s">
        <v>14</v>
      </c>
      <c r="B6" s="21">
        <v>2</v>
      </c>
      <c r="C6" s="21">
        <v>2</v>
      </c>
      <c r="D6" s="21">
        <v>2</v>
      </c>
      <c r="E6" s="21">
        <v>1</v>
      </c>
      <c r="F6" s="21">
        <v>2</v>
      </c>
      <c r="G6" s="21">
        <v>2</v>
      </c>
      <c r="H6" s="25">
        <v>1.83</v>
      </c>
    </row>
    <row r="7" spans="1:8">
      <c r="A7" s="17" t="s">
        <v>20</v>
      </c>
      <c r="B7" s="18">
        <v>1</v>
      </c>
      <c r="C7" s="18">
        <v>1</v>
      </c>
      <c r="D7" s="18">
        <v>2</v>
      </c>
      <c r="E7" s="18">
        <v>1</v>
      </c>
      <c r="F7" s="18">
        <v>1</v>
      </c>
      <c r="G7" s="18">
        <v>1</v>
      </c>
      <c r="H7" s="25">
        <v>1.17</v>
      </c>
    </row>
    <row r="8" spans="1:8">
      <c r="A8" s="20" t="s">
        <v>25</v>
      </c>
      <c r="B8" s="21">
        <v>2</v>
      </c>
      <c r="C8" s="21">
        <v>2</v>
      </c>
      <c r="D8" s="21">
        <v>2</v>
      </c>
      <c r="E8" s="21">
        <v>2</v>
      </c>
      <c r="F8" s="21">
        <v>2</v>
      </c>
      <c r="G8" s="21">
        <v>2</v>
      </c>
      <c r="H8" s="25">
        <v>2</v>
      </c>
    </row>
    <row r="9" spans="1:8">
      <c r="A9" s="17" t="s">
        <v>83</v>
      </c>
      <c r="B9" s="18">
        <v>1</v>
      </c>
      <c r="C9" s="18">
        <v>2</v>
      </c>
      <c r="D9" s="18">
        <v>1</v>
      </c>
      <c r="E9" s="18">
        <v>1</v>
      </c>
      <c r="F9" s="18">
        <v>2</v>
      </c>
      <c r="G9" s="18">
        <v>1</v>
      </c>
      <c r="H9" s="25">
        <v>1.33</v>
      </c>
    </row>
    <row r="10" spans="1:8">
      <c r="A10" t="s">
        <v>35</v>
      </c>
      <c r="B10">
        <v>2</v>
      </c>
      <c r="C10">
        <v>2</v>
      </c>
      <c r="D10">
        <v>1</v>
      </c>
      <c r="E10">
        <v>2</v>
      </c>
      <c r="F10">
        <v>2</v>
      </c>
      <c r="G10">
        <v>2</v>
      </c>
      <c r="H10">
        <v>1.83</v>
      </c>
    </row>
    <row r="11" spans="1:8" ht="26.4">
      <c r="A11" s="22" t="s">
        <v>40</v>
      </c>
      <c r="B11" s="22">
        <v>1</v>
      </c>
      <c r="C11" s="26">
        <v>1.55</v>
      </c>
      <c r="D11" s="22">
        <v>2</v>
      </c>
      <c r="E11" s="24" t="s">
        <v>93</v>
      </c>
      <c r="F11">
        <v>1</v>
      </c>
      <c r="G11">
        <v>2</v>
      </c>
      <c r="H11">
        <v>1.5</v>
      </c>
    </row>
    <row r="12" spans="1:8">
      <c r="A12" t="s">
        <v>45</v>
      </c>
      <c r="B12">
        <v>2</v>
      </c>
      <c r="C12">
        <v>3</v>
      </c>
      <c r="D12">
        <v>2</v>
      </c>
      <c r="E12">
        <v>2</v>
      </c>
      <c r="F12">
        <v>3</v>
      </c>
      <c r="G12">
        <v>2</v>
      </c>
      <c r="H12">
        <v>2.33</v>
      </c>
    </row>
    <row r="13" spans="1:8" ht="40.049999999999997" customHeight="1">
      <c r="A13" s="35" t="s">
        <v>94</v>
      </c>
      <c r="B13" s="36"/>
      <c r="C13" s="36"/>
      <c r="D13" s="36"/>
      <c r="E13" s="36"/>
      <c r="F13" s="36"/>
      <c r="G13" s="36"/>
      <c r="H13" s="37"/>
    </row>
    <row r="14" spans="1:8" ht="18" customHeight="1">
      <c r="A14" s="38"/>
      <c r="B14" s="39"/>
      <c r="C14" s="39"/>
      <c r="D14" s="39"/>
      <c r="E14" s="39"/>
      <c r="F14" s="39"/>
      <c r="G14" s="39"/>
      <c r="H14" s="40"/>
    </row>
  </sheetData>
  <mergeCells count="3">
    <mergeCell ref="A2:H2"/>
    <mergeCell ref="A13:H14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Heuristica</vt:lpstr>
      <vt:lpstr>Resumen</vt:lpstr>
      <vt:lpstr>PSSUQ</vt:lpstr>
      <vt:lpstr>UEQ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Bryan Quispe</cp:lastModifiedBy>
  <dcterms:created xsi:type="dcterms:W3CDTF">2026-07-08T04:14:20Z</dcterms:created>
  <dcterms:modified xsi:type="dcterms:W3CDTF">2026-07-08T04:24:07Z</dcterms:modified>
</cp:coreProperties>
</file>