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YAN-PC\Desktop\8vo Semestre\Interculturalidad\Proyecto\Entrega Final\"/>
    </mc:Choice>
  </mc:AlternateContent>
  <xr:revisionPtr revIDLastSave="0" documentId="13_ncr:1_{B511956C-D7C1-4107-8D75-1A818B9069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euristica" sheetId="2" r:id="rId1"/>
    <sheet name="Resume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6" i="3"/>
</calcChain>
</file>

<file path=xl/sharedStrings.xml><?xml version="1.0" encoding="utf-8"?>
<sst xmlns="http://schemas.openxmlformats.org/spreadsheetml/2006/main" count="68" uniqueCount="62">
  <si>
    <t>ID</t>
  </si>
  <si>
    <t>Evaluador</t>
  </si>
  <si>
    <t>Area</t>
  </si>
  <si>
    <t>Heuristica</t>
  </si>
  <si>
    <t>Hallazgo</t>
  </si>
  <si>
    <t>Severidad</t>
  </si>
  <si>
    <t>Puntaje</t>
  </si>
  <si>
    <t>Recomendacion</t>
  </si>
  <si>
    <t>Registro</t>
  </si>
  <si>
    <t>Carga de trabajo</t>
  </si>
  <si>
    <t>El formulario concentra demasiados campos en una sola vista.</t>
  </si>
  <si>
    <t>Media</t>
  </si>
  <si>
    <t>Dividir el flujo en secciones y usar ayuda contextual.</t>
  </si>
  <si>
    <t>Edicion 3D</t>
  </si>
  <si>
    <t>Control explicito</t>
  </si>
  <si>
    <t>Debe quedar mas claro si el usuario esta moviendo, rotando o pintando.</t>
  </si>
  <si>
    <t>Alta</t>
  </si>
  <si>
    <t>Separar modos con botones activos y estados visibles.</t>
  </si>
  <si>
    <t>Categoria</t>
  </si>
  <si>
    <t>Compatibilidad</t>
  </si>
  <si>
    <t>La seleccion por categoria es correcta, pero conviene mantener el mismo lenguaje en todo el sistema.</t>
  </si>
  <si>
    <t>Usar la misma nomenclatura y color por especie.</t>
  </si>
  <si>
    <t>Interfaz</t>
  </si>
  <si>
    <t>Homogeneidad</t>
  </si>
  <si>
    <t>Hay variaciones de estilo entre modales y pantallas principales.</t>
  </si>
  <si>
    <t>Normalizar botones, inputs y tarjetas.</t>
  </si>
  <si>
    <t>Ubicacion</t>
  </si>
  <si>
    <t>Gestion de errores</t>
  </si>
  <si>
    <t>La ubicacion debe ser aproximada y no exponer direccion exacta.</t>
  </si>
  <si>
    <t>Reforzar validacion de pais/barrio y aviso de privacidad.</t>
  </si>
  <si>
    <t>Carga de fotos</t>
  </si>
  <si>
    <t>Feedback</t>
  </si>
  <si>
    <t>Se necesita confirmacion mas visible al subir o guardar fotos.</t>
  </si>
  <si>
    <t>Mostrar mensajes de exito y progreso.</t>
  </si>
  <si>
    <t>Vista publica</t>
  </si>
  <si>
    <t>Significado de codigos</t>
  </si>
  <si>
    <t>Iconos y colores requieren etiquetas para evitar ambiguedad.</t>
  </si>
  <si>
    <t>Agregar leyendas y labels cortos.</t>
  </si>
  <si>
    <t>Cartel PDF</t>
  </si>
  <si>
    <t>El formato del cartel es util, pero debe mantener jerarquia visual consistente.</t>
  </si>
  <si>
    <t>Baja</t>
  </si>
  <si>
    <t>Ajustar tipografia y orden de bloques.</t>
  </si>
  <si>
    <t>Resumen ejecutivo de la evaluacion</t>
  </si>
  <si>
    <t>Metrica de usabilidad</t>
  </si>
  <si>
    <t>PSSUQ</t>
  </si>
  <si>
    <t>Metrica de UX</t>
  </si>
  <si>
    <t>UEQ</t>
  </si>
  <si>
    <t>Heuristica aplicada</t>
  </si>
  <si>
    <t>Bastien y Scapin</t>
  </si>
  <si>
    <t>Total hallazgos</t>
  </si>
  <si>
    <t>Altos</t>
  </si>
  <si>
    <t>Medios</t>
  </si>
  <si>
    <t>Bajos</t>
  </si>
  <si>
    <t>Promedio de severidad</t>
  </si>
  <si>
    <t>Galo Moreta</t>
  </si>
  <si>
    <t>Axel Herrera</t>
  </si>
  <si>
    <t>Leonel Quispe</t>
  </si>
  <si>
    <t>Luz Romero</t>
  </si>
  <si>
    <t>Daniel Patiño</t>
  </si>
  <si>
    <t>Isabela Lopez</t>
  </si>
  <si>
    <t>Mateo Medranda</t>
  </si>
  <si>
    <t>Marcelo Pareja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</si>
</sst>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16324F"/>
      <name val="Carlito"/>
    </font>
    <font>
      <b/>
      <sz val="10"/>
      <color rgb="FFFFFFFF"/>
      <name val="Carlito"/>
    </font>
    <font>
      <sz val="10"/>
      <color rgb="FF1F2937"/>
      <name val="Carlito"/>
    </font>
    <font>
      <b/>
      <sz val="10"/>
      <color rgb="FF111827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b/>
      <sz val="10"/>
      <color rgb="FF7A5A00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8EEF5"/>
      </patternFill>
    </fill>
    <fill>
      <patternFill patternType="solid">
        <fgColor rgb="FFE9F7F1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FF4CC"/>
      </patternFill>
    </fill>
    <fill>
      <patternFill patternType="solid">
        <fgColor rgb="FFFDE68A"/>
      </patternFill>
    </fill>
    <fill>
      <patternFill patternType="solid">
        <fgColor rgb="FFFDE2E2"/>
      </patternFill>
    </fill>
    <fill>
      <patternFill patternType="solid">
        <fgColor rgb="FFFCA5A5"/>
      </patternFill>
    </fill>
    <fill>
      <patternFill patternType="solid">
        <fgColor rgb="FFBFDBFE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16324F"/>
      </left>
      <right/>
      <top style="thin">
        <color rgb="FF16324F"/>
      </top>
      <bottom style="thin">
        <color rgb="FF16324F"/>
      </bottom>
      <diagonal/>
    </border>
    <border>
      <left/>
      <right/>
      <top style="thin">
        <color rgb="FF16324F"/>
      </top>
      <bottom style="thin">
        <color rgb="FF16324F"/>
      </bottom>
      <diagonal/>
    </border>
    <border>
      <left/>
      <right style="thin">
        <color rgb="FF16324F"/>
      </right>
      <top style="thin">
        <color rgb="FF16324F"/>
      </top>
      <bottom style="thin">
        <color rgb="FF16324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7D7C5"/>
      </left>
      <right/>
      <top style="thin">
        <color rgb="FFA7D7C5"/>
      </top>
      <bottom style="thin">
        <color rgb="FFA7D7C5"/>
      </bottom>
      <diagonal/>
    </border>
    <border>
      <left/>
      <right/>
      <top style="thin">
        <color rgb="FFA7D7C5"/>
      </top>
      <bottom style="thin">
        <color rgb="FFA7D7C5"/>
      </bottom>
      <diagonal/>
    </border>
    <border>
      <left/>
      <right style="thin">
        <color rgb="FFA7D7C5"/>
      </right>
      <top style="thin">
        <color rgb="FFA7D7C5"/>
      </top>
      <bottom style="thin">
        <color rgb="FFA7D7C5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9D8A6"/>
      </left>
      <right/>
      <top style="thin">
        <color rgb="FFE9D8A6"/>
      </top>
      <bottom style="thin">
        <color rgb="FFE9D8A6"/>
      </bottom>
      <diagonal/>
    </border>
    <border>
      <left/>
      <right/>
      <top style="thin">
        <color rgb="FFE9D8A6"/>
      </top>
      <bottom style="thin">
        <color rgb="FFE9D8A6"/>
      </bottom>
      <diagonal/>
    </border>
    <border>
      <left/>
      <right style="thin">
        <color rgb="FFE9D8A6"/>
      </right>
      <top style="thin">
        <color rgb="FFE9D8A6"/>
      </top>
      <bottom style="thin">
        <color rgb="FFE9D8A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 wrapText="1"/>
    </xf>
    <xf numFmtId="1" fontId="4" fillId="8" borderId="4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1" fontId="4" fillId="10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" fontId="4" fillId="11" borderId="4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" fillId="3" borderId="8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6" fillId="4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6" fillId="6" borderId="8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2" fontId="6" fillId="6" borderId="8" xfId="0" applyNumberFormat="1" applyFont="1" applyFill="1" applyBorder="1" applyAlignment="1">
      <alignment horizontal="center"/>
    </xf>
    <xf numFmtId="2" fontId="6" fillId="6" borderId="9" xfId="0" applyNumberFormat="1" applyFont="1" applyFill="1" applyBorder="1" applyAlignment="1">
      <alignment horizontal="center"/>
    </xf>
    <xf numFmtId="2" fontId="6" fillId="6" borderId="10" xfId="0" applyNumberFormat="1" applyFont="1" applyFill="1" applyBorder="1" applyAlignment="1">
      <alignment horizontal="center"/>
    </xf>
    <xf numFmtId="0" fontId="7" fillId="12" borderId="11" xfId="0" applyFont="1" applyFill="1" applyBorder="1" applyAlignment="1">
      <alignment wrapText="1"/>
    </xf>
    <xf numFmtId="0" fontId="7" fillId="12" borderId="12" xfId="0" applyFont="1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0" fontId="3" fillId="12" borderId="5" xfId="0" applyFont="1" applyFill="1" applyBorder="1" applyAlignment="1">
      <alignment wrapText="1"/>
    </xf>
    <xf numFmtId="0" fontId="3" fillId="12" borderId="6" xfId="0" applyFont="1" applyFill="1" applyBorder="1" applyAlignment="1">
      <alignment wrapText="1"/>
    </xf>
    <xf numFmtId="0" fontId="3" fillId="12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tabSelected="1" workbookViewId="0">
      <selection activeCell="A11" sqref="A11:H11"/>
    </sheetView>
  </sheetViews>
  <sheetFormatPr baseColWidth="10" defaultColWidth="8.796875" defaultRowHeight="13.8"/>
  <cols>
    <col min="1" max="1" width="8.69921875" customWidth="1"/>
    <col min="2" max="2" width="21.19921875" customWidth="1"/>
    <col min="3" max="3" width="17.5" customWidth="1"/>
    <col min="4" max="4" width="25" customWidth="1"/>
    <col min="5" max="5" width="42.5" customWidth="1"/>
    <col min="6" max="6" width="11.8984375" customWidth="1"/>
    <col min="7" max="7" width="10" customWidth="1"/>
    <col min="8" max="8" width="31.19921875" customWidth="1"/>
  </cols>
  <sheetData>
    <row r="1" spans="1:8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6.4">
      <c r="A2" s="4">
        <v>1</v>
      </c>
      <c r="B2" s="4" t="s">
        <v>54</v>
      </c>
      <c r="C2" s="4" t="s">
        <v>8</v>
      </c>
      <c r="D2" s="4" t="s">
        <v>9</v>
      </c>
      <c r="E2" s="4" t="s">
        <v>10</v>
      </c>
      <c r="F2" s="5" t="s">
        <v>11</v>
      </c>
      <c r="G2" s="6">
        <v>2</v>
      </c>
      <c r="H2" s="4" t="s">
        <v>12</v>
      </c>
    </row>
    <row r="3" spans="1:8" ht="26.4">
      <c r="A3" s="4">
        <v>2</v>
      </c>
      <c r="B3" s="4" t="s">
        <v>55</v>
      </c>
      <c r="C3" s="4" t="s">
        <v>13</v>
      </c>
      <c r="D3" s="4" t="s">
        <v>14</v>
      </c>
      <c r="E3" s="4" t="s">
        <v>15</v>
      </c>
      <c r="F3" s="7" t="s">
        <v>16</v>
      </c>
      <c r="G3" s="8">
        <v>3</v>
      </c>
      <c r="H3" s="4" t="s">
        <v>17</v>
      </c>
    </row>
    <row r="4" spans="1:8" ht="26.4">
      <c r="A4" s="4">
        <v>3</v>
      </c>
      <c r="B4" s="4" t="s">
        <v>56</v>
      </c>
      <c r="C4" s="4" t="s">
        <v>18</v>
      </c>
      <c r="D4" s="4" t="s">
        <v>19</v>
      </c>
      <c r="E4" s="4" t="s">
        <v>20</v>
      </c>
      <c r="F4" s="5" t="s">
        <v>11</v>
      </c>
      <c r="G4" s="6">
        <v>2</v>
      </c>
      <c r="H4" s="4" t="s">
        <v>21</v>
      </c>
    </row>
    <row r="5" spans="1:8" ht="26.4">
      <c r="A5" s="4">
        <v>4</v>
      </c>
      <c r="B5" s="4" t="s">
        <v>57</v>
      </c>
      <c r="C5" s="4" t="s">
        <v>22</v>
      </c>
      <c r="D5" s="4" t="s">
        <v>23</v>
      </c>
      <c r="E5" s="4" t="s">
        <v>24</v>
      </c>
      <c r="F5" s="5" t="s">
        <v>11</v>
      </c>
      <c r="G5" s="6">
        <v>2</v>
      </c>
      <c r="H5" s="4" t="s">
        <v>25</v>
      </c>
    </row>
    <row r="6" spans="1:8" ht="26.4">
      <c r="A6" s="4">
        <v>5</v>
      </c>
      <c r="B6" s="4" t="s">
        <v>58</v>
      </c>
      <c r="C6" s="4" t="s">
        <v>26</v>
      </c>
      <c r="D6" s="4" t="s">
        <v>27</v>
      </c>
      <c r="E6" s="4" t="s">
        <v>28</v>
      </c>
      <c r="F6" s="7" t="s">
        <v>16</v>
      </c>
      <c r="G6" s="8">
        <v>3</v>
      </c>
      <c r="H6" s="4" t="s">
        <v>29</v>
      </c>
    </row>
    <row r="7" spans="1:8" ht="26.4">
      <c r="A7" s="4">
        <v>6</v>
      </c>
      <c r="B7" s="4" t="s">
        <v>59</v>
      </c>
      <c r="C7" s="4" t="s">
        <v>30</v>
      </c>
      <c r="D7" s="4" t="s">
        <v>31</v>
      </c>
      <c r="E7" s="4" t="s">
        <v>32</v>
      </c>
      <c r="F7" s="7" t="s">
        <v>16</v>
      </c>
      <c r="G7" s="8">
        <v>3</v>
      </c>
      <c r="H7" s="4" t="s">
        <v>33</v>
      </c>
    </row>
    <row r="8" spans="1:8" ht="26.4">
      <c r="A8" s="4">
        <v>7</v>
      </c>
      <c r="B8" s="4" t="s">
        <v>60</v>
      </c>
      <c r="C8" s="4" t="s">
        <v>34</v>
      </c>
      <c r="D8" s="4" t="s">
        <v>35</v>
      </c>
      <c r="E8" s="4" t="s">
        <v>36</v>
      </c>
      <c r="F8" s="5" t="s">
        <v>11</v>
      </c>
      <c r="G8" s="6">
        <v>2</v>
      </c>
      <c r="H8" s="4" t="s">
        <v>37</v>
      </c>
    </row>
    <row r="9" spans="1:8" ht="26.4">
      <c r="A9" s="4">
        <v>8</v>
      </c>
      <c r="B9" s="4" t="s">
        <v>61</v>
      </c>
      <c r="C9" s="4" t="s">
        <v>38</v>
      </c>
      <c r="D9" s="4" t="s">
        <v>19</v>
      </c>
      <c r="E9" s="4" t="s">
        <v>39</v>
      </c>
      <c r="F9" s="9" t="s">
        <v>40</v>
      </c>
      <c r="G9" s="10">
        <v>1</v>
      </c>
      <c r="H9" s="4" t="s">
        <v>41</v>
      </c>
    </row>
    <row r="11" spans="1:8" ht="31.5" customHeight="1">
      <c r="A11" s="30"/>
      <c r="B11" s="31"/>
      <c r="C11" s="31"/>
      <c r="D11" s="31"/>
      <c r="E11" s="31"/>
      <c r="F11" s="31"/>
      <c r="G11" s="31"/>
      <c r="H11" s="32"/>
    </row>
  </sheetData>
  <mergeCells count="1"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>
      <selection activeCell="B15" sqref="B15"/>
    </sheetView>
  </sheetViews>
  <sheetFormatPr baseColWidth="10" defaultColWidth="8.796875" defaultRowHeight="13.8"/>
  <cols>
    <col min="1" max="1" width="15" customWidth="1"/>
    <col min="2" max="8" width="22.5" customWidth="1"/>
  </cols>
  <sheetData>
    <row r="1" spans="1:8" ht="27" customHeight="1">
      <c r="A1" s="11" t="s">
        <v>42</v>
      </c>
      <c r="B1" s="11"/>
      <c r="C1" s="11"/>
      <c r="D1" s="11"/>
      <c r="E1" s="11"/>
      <c r="F1" s="11"/>
      <c r="G1" s="11"/>
      <c r="H1" s="11"/>
    </row>
    <row r="3" spans="1:8">
      <c r="A3" s="12" t="s">
        <v>43</v>
      </c>
      <c r="B3" s="13"/>
      <c r="C3" s="13"/>
      <c r="D3" s="14"/>
      <c r="E3" s="15" t="s">
        <v>44</v>
      </c>
      <c r="F3" s="16"/>
      <c r="G3" s="16"/>
      <c r="H3" s="17"/>
    </row>
    <row r="4" spans="1:8">
      <c r="A4" s="12" t="s">
        <v>45</v>
      </c>
      <c r="B4" s="13"/>
      <c r="C4" s="13"/>
      <c r="D4" s="14"/>
      <c r="E4" s="15" t="s">
        <v>46</v>
      </c>
      <c r="F4" s="16"/>
      <c r="G4" s="16"/>
      <c r="H4" s="17"/>
    </row>
    <row r="5" spans="1:8">
      <c r="A5" s="12" t="s">
        <v>47</v>
      </c>
      <c r="B5" s="13"/>
      <c r="C5" s="13"/>
      <c r="D5" s="14"/>
      <c r="E5" s="15" t="s">
        <v>48</v>
      </c>
      <c r="F5" s="16"/>
      <c r="G5" s="16"/>
      <c r="H5" s="17"/>
    </row>
    <row r="6" spans="1:8">
      <c r="A6" s="18" t="s">
        <v>49</v>
      </c>
      <c r="B6" s="19"/>
      <c r="C6" s="19"/>
      <c r="D6" s="20"/>
      <c r="E6" s="21">
        <f>COUNTA(Heuristica!A2:A9)</f>
        <v>8</v>
      </c>
      <c r="F6" s="22"/>
      <c r="G6" s="22"/>
      <c r="H6" s="23"/>
    </row>
    <row r="7" spans="1:8">
      <c r="A7" s="18" t="s">
        <v>50</v>
      </c>
      <c r="B7" s="19"/>
      <c r="C7" s="19"/>
      <c r="D7" s="20"/>
      <c r="E7" s="21">
        <f>COUNTIF(Heuristica!F2:F9,"Alta")</f>
        <v>3</v>
      </c>
      <c r="F7" s="22"/>
      <c r="G7" s="22"/>
      <c r="H7" s="23"/>
    </row>
    <row r="8" spans="1:8">
      <c r="A8" s="18" t="s">
        <v>51</v>
      </c>
      <c r="B8" s="19"/>
      <c r="C8" s="19"/>
      <c r="D8" s="20"/>
      <c r="E8" s="21">
        <f>COUNTIF(Heuristica!F2:F9,"Media")</f>
        <v>4</v>
      </c>
      <c r="F8" s="22"/>
      <c r="G8" s="22"/>
      <c r="H8" s="23"/>
    </row>
    <row r="9" spans="1:8">
      <c r="A9" s="18" t="s">
        <v>52</v>
      </c>
      <c r="B9" s="19"/>
      <c r="C9" s="19"/>
      <c r="D9" s="20"/>
      <c r="E9" s="21">
        <f>COUNTIF(Heuristica!F2:F9,"Baja")</f>
        <v>1</v>
      </c>
      <c r="F9" s="22"/>
      <c r="G9" s="22"/>
      <c r="H9" s="23"/>
    </row>
    <row r="10" spans="1:8">
      <c r="A10" s="18" t="s">
        <v>53</v>
      </c>
      <c r="B10" s="19"/>
      <c r="C10" s="19"/>
      <c r="D10" s="20"/>
      <c r="E10" s="24">
        <f>AVERAGE(Heuristica!G2:G9)</f>
        <v>2.25</v>
      </c>
      <c r="F10" s="25"/>
      <c r="G10" s="25"/>
      <c r="H10" s="26"/>
    </row>
    <row r="12" spans="1:8" ht="36" customHeight="1">
      <c r="A12" s="27"/>
      <c r="B12" s="28"/>
      <c r="C12" s="28"/>
      <c r="D12" s="28"/>
      <c r="E12" s="28"/>
      <c r="F12" s="28"/>
      <c r="G12" s="28"/>
      <c r="H12" s="29"/>
    </row>
  </sheetData>
  <mergeCells count="18">
    <mergeCell ref="A12:H12"/>
    <mergeCell ref="A8:D8"/>
    <mergeCell ref="E8:H8"/>
    <mergeCell ref="A9:D9"/>
    <mergeCell ref="E9:H9"/>
    <mergeCell ref="A10:D10"/>
    <mergeCell ref="E10:H10"/>
    <mergeCell ref="A5:D5"/>
    <mergeCell ref="E5:H5"/>
    <mergeCell ref="A6:D6"/>
    <mergeCell ref="E6:H6"/>
    <mergeCell ref="A7:D7"/>
    <mergeCell ref="E7:H7"/>
    <mergeCell ref="A1:H1"/>
    <mergeCell ref="A3:D3"/>
    <mergeCell ref="E3:H3"/>
    <mergeCell ref="A4:D4"/>
    <mergeCell ref="E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Heuristica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Quispe</cp:lastModifiedBy>
  <dcterms:modified xsi:type="dcterms:W3CDTF">2026-07-08T04:12:33Z</dcterms:modified>
</cp:coreProperties>
</file>